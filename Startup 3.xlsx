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a\Downloads\"/>
    </mc:Choice>
  </mc:AlternateContent>
  <xr:revisionPtr revIDLastSave="0" documentId="13_ncr:1_{668E53EB-24FB-4572-99D3-C3ABEDF220C1}" xr6:coauthVersionLast="47" xr6:coauthVersionMax="47" xr10:uidLastSave="{00000000-0000-0000-0000-000000000000}"/>
  <bookViews>
    <workbookView xWindow="-108" yWindow="-108" windowWidth="23256" windowHeight="12456" xr2:uid="{F4AC85D7-5454-48A3-9E62-ACF9897D6E08}"/>
  </bookViews>
  <sheets>
    <sheet name="RAW DATA" sheetId="1" r:id="rId1"/>
    <sheet name="CLEANED DATA" sheetId="2" r:id="rId2"/>
    <sheet name="EDA" sheetId="3" r:id="rId3"/>
    <sheet name="REGRESSION ANALYSI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0" i="4" l="1"/>
  <c r="K30" i="4"/>
  <c r="J30" i="4"/>
  <c r="L29" i="4"/>
  <c r="K29" i="4"/>
  <c r="J29" i="4"/>
  <c r="S24" i="4"/>
  <c r="S23" i="4"/>
  <c r="S22" i="4"/>
  <c r="S21" i="4"/>
  <c r="M30" i="4" l="1"/>
  <c r="M29" i="4"/>
</calcChain>
</file>

<file path=xl/sharedStrings.xml><?xml version="1.0" encoding="utf-8"?>
<sst xmlns="http://schemas.openxmlformats.org/spreadsheetml/2006/main" count="275" uniqueCount="69">
  <si>
    <t>RD_Spend</t>
  </si>
  <si>
    <t>Administration</t>
  </si>
  <si>
    <t>Marketing_Spend</t>
  </si>
  <si>
    <t>State</t>
  </si>
  <si>
    <t>Profit</t>
  </si>
  <si>
    <t>New York</t>
  </si>
  <si>
    <t>California</t>
  </si>
  <si>
    <t>Florida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</si>
  <si>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</si>
  <si>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</si>
  <si>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</si>
  <si>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</si>
  <si>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</si>
  <si>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</si>
  <si>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</si>
  <si>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</si>
  <si>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</si>
  <si>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</si>
  <si>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</si>
  <si>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</si>
  <si>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</si>
  <si>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Y=M1X1+M2X2+M3X3+C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</si>
  <si>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</si>
  <si>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</si>
  <si>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</si>
  <si>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</si>
  <si>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</si>
  <si>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</si>
  <si>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</si>
  <si>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</si>
  <si>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</si>
  <si>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</si>
  <si>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</si>
  <si>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</si>
  <si>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</si>
  <si>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</si>
  <si>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</si>
  <si>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</si>
  <si>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</si>
  <si>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</si>
  <si>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</si>
  <si>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</si>
  <si>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</si>
  <si>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</si>
  <si>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</si>
  <si>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X1</t>
  </si>
  <si>
    <t>X2</t>
  </si>
  <si>
    <t>X3</t>
  </si>
  <si>
    <t>M1</t>
  </si>
  <si>
    <t>M2</t>
  </si>
  <si>
    <t>M3</t>
  </si>
  <si>
    <t>C</t>
  </si>
  <si>
    <t>PROFIT</t>
  </si>
  <si>
    <t>(Y=M1*X1+M2*X2+M3*X3+C)</t>
  </si>
  <si>
    <t>R SHOWS THE STRENGTH OF THE RELATION B/W SPENDING &amp; PROFIT</t>
  </si>
  <si>
    <t>TELLS HOW MUCH OF PROFIT IS EXPLAINED BY R&amp;D,MARKETING,ADMINI SPENDING</t>
  </si>
  <si>
    <t>IT IS THE CORRECT VERSION OF R2</t>
  </si>
  <si>
    <t>C IS THE BASE PROFIT WHEN ALL EXPENSES ARE ZERO</t>
  </si>
  <si>
    <t>P VALUE TELL WHETHER A VARIABLE IS IMPORTANT OR NOT</t>
  </si>
  <si>
    <t>SMALLER P VALUE THAT VARIABLE SIGNIFICANTLY AFFECT PROFIT</t>
  </si>
  <si>
    <t xml:space="preserve"> </t>
  </si>
  <si>
    <t>VARIABLE INCREASE BY 1 UNIT.</t>
  </si>
  <si>
    <t xml:space="preserve">M1,M2,M3 TELLS HOW MUCH PROFIT CHANGES IF ALL THE 3 INDEPENDENT </t>
  </si>
  <si>
    <t>MEAN &amp; MEDIAN ARE SLIGHTLY DIFFERENT MEANS THE DATASET IS BALANCED</t>
  </si>
  <si>
    <t>SD OF R&amp;D IS HIGH RELATIVE TO THE MEAN IT TELLS US THAT THE STARTUP HAVE VERY DIFFERENT STATEGIES SOME SPEND VERY LITTLE, WHILE OTHERS SPEND A LOT.</t>
  </si>
  <si>
    <t>ADMINI SD IS LOWEST TO ITS MEAN.IT SUGGEST ADMINI COSTS ARE FIXED</t>
  </si>
  <si>
    <t>MARKETING SD IS HIGHEST SPREAD .ITS BUDGETS ARE THE MOST VOLATILE SOME STARTUP ARE AGGRESSIVE WITH ADS WHILE SOME ARE NOT.</t>
  </si>
  <si>
    <t>SKEWNESS RANGE IS -0.5 TO 0.5  SO ALL ARE APPROXIMATELY SYMMETRIC A BELL SHAPED CURVE WE CAN EXPECT.</t>
  </si>
  <si>
    <t>KURTOSIS RANGE-1 TO 1 SO ALL ARE IN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</si>
</sst>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16" fillId="0" borderId="0" xfId="0" applyFont="1"/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18" fillId="0" borderId="11" xfId="0" applyFont="1" applyBorder="1" applyAlignment="1">
      <alignment horizontal="centerContinuous"/>
    </xf>
    <xf numFmtId="0" fontId="19" fillId="0" borderId="0" xfId="0" applyFont="1"/>
    <xf numFmtId="0" fontId="20" fillId="0" borderId="0" xfId="0" applyFont="1"/>
    <xf numFmtId="0" fontId="16" fillId="33" borderId="0" xfId="0" applyFont="1" applyFill="1"/>
    <xf numFmtId="0" fontId="0" fillId="33" borderId="0" xfId="0" applyFill="1"/>
    <xf numFmtId="0" fontId="16" fillId="34" borderId="0" xfId="0" applyFont="1" applyFill="1"/>
    <xf numFmtId="0" fontId="0" fillId="34" borderId="0" xfId="0" applyFill="1"/>
    <xf numFmtId="0" fontId="16" fillId="35" borderId="0" xfId="0" applyFont="1" applyFill="1"/>
    <xf numFmtId="0" fontId="0" fillId="35" borderId="0" xfId="0" applyFill="1"/>
    <xf numFmtId="0" fontId="16" fillId="36" borderId="0" xfId="0" applyFont="1" applyFill="1"/>
    <xf numFmtId="0" fontId="16" fillId="0" borderId="0" xfId="0" applyFont="1" applyAlignment="1">
      <alignment horizontal="center"/>
    </xf>
    <xf numFmtId="0" fontId="20" fillId="37" borderId="11" xfId="0" applyFont="1" applyFill="1" applyBorder="1" applyAlignment="1">
      <alignment horizontal="center"/>
    </xf>
    <xf numFmtId="0" fontId="16" fillId="37" borderId="0" xfId="0" applyFont="1" applyFill="1"/>
    <xf numFmtId="0" fontId="16" fillId="38" borderId="0" xfId="0" applyFont="1" applyFill="1"/>
    <xf numFmtId="0" fontId="16" fillId="39" borderId="0" xfId="0" applyFont="1" applyFill="1"/>
    <xf numFmtId="0" fontId="0" fillId="39" borderId="0" xfId="0" applyFill="1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3A3FF6-0126-458D-B666-7A8143AD4DB0}" name="Table2" displayName="Table2" ref="A1:E51" totalsRowShown="0" headerRowDxfId="0">
  <autoFilter ref="A1:E51" xr:uid="{DF3A3FF6-0126-458D-B666-7A8143AD4DB0}"/>
  <tableColumns count="5">
    <tableColumn id="1" xr3:uid="{6483B860-9ECE-4665-909E-95DD70F6D8C2}" name="RD_Spend"/>
    <tableColumn id="2" xr3:uid="{571FBDF6-DD8F-4EEE-B7AD-0FA234F4F5E8}" name="Administration"/>
    <tableColumn id="3" xr3:uid="{D8982C1D-DB1D-4C51-8975-47F4551D5888}" name="Marketing_Spend"/>
    <tableColumn id="4" xr3:uid="{684B83F0-40F3-4685-9E5F-7786442A2D5D}" name="Profit"/>
    <tableColumn id="5" xr3:uid="{7927AFFC-CE65-49E7-BD83-0B8F58772E40}" name="St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1BE50-CCFD-4AA1-BDA3-B1F6262EB69C}">
  <dimension ref="A1:E51"/>
  <sheetViews>
    <sheetView tabSelected="1" workbookViewId="0">
      <pane ySplit="1" topLeftCell="A2" activePane="bottomLeft" state="frozen"/>
      <selection pane="bottomLeft" activeCell="F5" sqref="F5"/>
    </sheetView>
  </sheetViews>
  <sheetFormatPr defaultRowHeight="14.4" x14ac:dyDescent="0.3"/>
  <sheetData>
    <row r="1" spans="1:5" x14ac:dyDescent="0.3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</row>
    <row r="2" spans="1:5" x14ac:dyDescent="0.3">
      <c r="A2">
        <v>165349.20000000001</v>
      </c>
      <c r="B2">
        <v>136897.79999999999</v>
      </c>
      <c r="C2">
        <v>471784.1</v>
      </c>
      <c r="D2" t="s">
        <v>5</v>
      </c>
      <c r="E2">
        <v>192261.83</v>
      </c>
    </row>
    <row r="3" spans="1:5" x14ac:dyDescent="0.3">
      <c r="A3">
        <v>162597.70000000001</v>
      </c>
      <c r="B3">
        <v>151377.59</v>
      </c>
      <c r="C3">
        <v>443898.53</v>
      </c>
      <c r="D3" t="s">
        <v>6</v>
      </c>
      <c r="E3">
        <v>191792.06</v>
      </c>
    </row>
    <row r="4" spans="1:5" x14ac:dyDescent="0.3">
      <c r="A4">
        <v>153441.51</v>
      </c>
      <c r="B4">
        <v>101145.55</v>
      </c>
      <c r="C4">
        <v>407934.54</v>
      </c>
      <c r="D4" t="s">
        <v>7</v>
      </c>
      <c r="E4">
        <v>191050.39</v>
      </c>
    </row>
    <row r="5" spans="1:5" x14ac:dyDescent="0.3">
      <c r="A5">
        <v>144372.41</v>
      </c>
      <c r="B5">
        <v>118671.85</v>
      </c>
      <c r="C5">
        <v>383199.62</v>
      </c>
      <c r="D5" t="s">
        <v>5</v>
      </c>
      <c r="E5">
        <v>182901.99</v>
      </c>
    </row>
    <row r="6" spans="1:5" x14ac:dyDescent="0.3">
      <c r="A6">
        <v>142107.34</v>
      </c>
      <c r="B6">
        <v>91391.77</v>
      </c>
      <c r="C6">
        <v>366168.42</v>
      </c>
      <c r="D6" t="s">
        <v>7</v>
      </c>
      <c r="E6">
        <v>166187.94</v>
      </c>
    </row>
    <row r="7" spans="1:5" x14ac:dyDescent="0.3">
      <c r="A7">
        <v>131876.9</v>
      </c>
      <c r="B7">
        <v>99814.71</v>
      </c>
      <c r="C7">
        <v>362861.36</v>
      </c>
      <c r="D7" t="s">
        <v>5</v>
      </c>
      <c r="E7">
        <v>156991.12</v>
      </c>
    </row>
    <row r="8" spans="1:5" x14ac:dyDescent="0.3">
      <c r="A8">
        <v>134615.46</v>
      </c>
      <c r="B8">
        <v>147198.87</v>
      </c>
      <c r="C8">
        <v>127716.82</v>
      </c>
      <c r="D8" t="s">
        <v>6</v>
      </c>
      <c r="E8">
        <v>156122.51</v>
      </c>
    </row>
    <row r="9" spans="1:5" x14ac:dyDescent="0.3">
      <c r="A9">
        <v>130298.13</v>
      </c>
      <c r="B9">
        <v>145530.06</v>
      </c>
      <c r="C9">
        <v>323876.68</v>
      </c>
      <c r="D9" t="s">
        <v>7</v>
      </c>
      <c r="E9">
        <v>155752.6</v>
      </c>
    </row>
    <row r="10" spans="1:5" x14ac:dyDescent="0.3">
      <c r="A10">
        <v>120542.52</v>
      </c>
      <c r="B10">
        <v>148718.95000000001</v>
      </c>
      <c r="C10">
        <v>311613.28999999998</v>
      </c>
      <c r="D10" t="s">
        <v>5</v>
      </c>
      <c r="E10">
        <v>152211.76999999999</v>
      </c>
    </row>
    <row r="11" spans="1:5" x14ac:dyDescent="0.3">
      <c r="A11">
        <v>123334.88</v>
      </c>
      <c r="B11">
        <v>108679.17</v>
      </c>
      <c r="C11">
        <v>304981.62</v>
      </c>
      <c r="D11" t="s">
        <v>6</v>
      </c>
      <c r="E11">
        <v>149759.96</v>
      </c>
    </row>
    <row r="12" spans="1:5" x14ac:dyDescent="0.3">
      <c r="A12">
        <v>101913.08</v>
      </c>
      <c r="B12">
        <v>110594.11</v>
      </c>
      <c r="C12">
        <v>229160.95</v>
      </c>
      <c r="D12" t="s">
        <v>7</v>
      </c>
      <c r="E12">
        <v>146121.95000000001</v>
      </c>
    </row>
    <row r="13" spans="1:5" x14ac:dyDescent="0.3">
      <c r="A13">
        <v>100671.96</v>
      </c>
      <c r="B13">
        <v>91790.61</v>
      </c>
      <c r="C13">
        <v>249744.55</v>
      </c>
      <c r="D13" t="s">
        <v>6</v>
      </c>
      <c r="E13">
        <v>144259.4</v>
      </c>
    </row>
    <row r="14" spans="1:5" x14ac:dyDescent="0.3">
      <c r="A14">
        <v>93863.75</v>
      </c>
      <c r="B14">
        <v>127320.38</v>
      </c>
      <c r="C14">
        <v>249839.44</v>
      </c>
      <c r="D14" t="s">
        <v>7</v>
      </c>
      <c r="E14">
        <v>141585.51999999999</v>
      </c>
    </row>
    <row r="15" spans="1:5" x14ac:dyDescent="0.3">
      <c r="A15">
        <v>91992.39</v>
      </c>
      <c r="B15">
        <v>135495.07</v>
      </c>
      <c r="C15">
        <v>252664.93</v>
      </c>
      <c r="D15" t="s">
        <v>6</v>
      </c>
      <c r="E15">
        <v>134307.35</v>
      </c>
    </row>
    <row r="16" spans="1:5" x14ac:dyDescent="0.3">
      <c r="A16">
        <v>119943.24</v>
      </c>
      <c r="B16">
        <v>156547.42000000001</v>
      </c>
      <c r="C16">
        <v>256512.92</v>
      </c>
      <c r="D16" t="s">
        <v>7</v>
      </c>
      <c r="E16">
        <v>132602.65</v>
      </c>
    </row>
    <row r="17" spans="1:5" x14ac:dyDescent="0.3">
      <c r="A17">
        <v>114523.61</v>
      </c>
      <c r="B17">
        <v>122616.84</v>
      </c>
      <c r="C17">
        <v>261776.23</v>
      </c>
      <c r="D17" t="s">
        <v>5</v>
      </c>
      <c r="E17">
        <v>129917.04</v>
      </c>
    </row>
    <row r="18" spans="1:5" x14ac:dyDescent="0.3">
      <c r="A18">
        <v>78013.11</v>
      </c>
      <c r="B18">
        <v>121597.55</v>
      </c>
      <c r="C18">
        <v>264346.06</v>
      </c>
      <c r="D18" t="s">
        <v>6</v>
      </c>
      <c r="E18">
        <v>126992.93</v>
      </c>
    </row>
    <row r="19" spans="1:5" x14ac:dyDescent="0.3">
      <c r="A19">
        <v>94657.16</v>
      </c>
      <c r="B19">
        <v>145077.57999999999</v>
      </c>
      <c r="C19">
        <v>282574.31</v>
      </c>
      <c r="D19" t="s">
        <v>5</v>
      </c>
      <c r="E19">
        <v>125370.37</v>
      </c>
    </row>
    <row r="20" spans="1:5" x14ac:dyDescent="0.3">
      <c r="A20">
        <v>91749.16</v>
      </c>
      <c r="B20">
        <v>114175.79</v>
      </c>
      <c r="C20">
        <v>294919.57</v>
      </c>
      <c r="D20" t="s">
        <v>7</v>
      </c>
      <c r="E20">
        <v>124266.9</v>
      </c>
    </row>
    <row r="21" spans="1:5" x14ac:dyDescent="0.3">
      <c r="A21">
        <v>86419.7</v>
      </c>
      <c r="B21">
        <v>153514.10999999999</v>
      </c>
      <c r="C21">
        <v>0</v>
      </c>
      <c r="D21" t="s">
        <v>5</v>
      </c>
      <c r="E21">
        <v>122776.86</v>
      </c>
    </row>
    <row r="22" spans="1:5" x14ac:dyDescent="0.3">
      <c r="A22">
        <v>76253.86</v>
      </c>
      <c r="B22">
        <v>113867.3</v>
      </c>
      <c r="C22">
        <v>298664.46999999997</v>
      </c>
      <c r="D22" t="s">
        <v>6</v>
      </c>
      <c r="E22">
        <v>118474.03</v>
      </c>
    </row>
    <row r="23" spans="1:5" x14ac:dyDescent="0.3">
      <c r="A23">
        <v>78389.47</v>
      </c>
      <c r="B23">
        <v>153773.43</v>
      </c>
      <c r="C23">
        <v>299737.28999999998</v>
      </c>
      <c r="D23" t="s">
        <v>5</v>
      </c>
      <c r="E23">
        <v>111313.02</v>
      </c>
    </row>
    <row r="24" spans="1:5" x14ac:dyDescent="0.3">
      <c r="A24">
        <v>73994.559999999998</v>
      </c>
      <c r="B24">
        <v>122782.75</v>
      </c>
      <c r="C24">
        <v>303319.26</v>
      </c>
      <c r="D24" t="s">
        <v>7</v>
      </c>
      <c r="E24">
        <v>110352.25</v>
      </c>
    </row>
    <row r="25" spans="1:5" x14ac:dyDescent="0.3">
      <c r="A25">
        <v>67532.53</v>
      </c>
      <c r="B25">
        <v>105751.03</v>
      </c>
      <c r="C25">
        <v>304768.73</v>
      </c>
      <c r="D25" t="s">
        <v>7</v>
      </c>
      <c r="E25">
        <v>108733.99</v>
      </c>
    </row>
    <row r="26" spans="1:5" x14ac:dyDescent="0.3">
      <c r="A26">
        <v>77044.009999999995</v>
      </c>
      <c r="B26">
        <v>99281.34</v>
      </c>
      <c r="C26">
        <v>140574.81</v>
      </c>
      <c r="D26" t="s">
        <v>5</v>
      </c>
      <c r="E26">
        <v>108552.04</v>
      </c>
    </row>
    <row r="27" spans="1:5" x14ac:dyDescent="0.3">
      <c r="A27">
        <v>64664.71</v>
      </c>
      <c r="B27">
        <v>139553.16</v>
      </c>
      <c r="C27">
        <v>137962.62</v>
      </c>
      <c r="D27" t="s">
        <v>6</v>
      </c>
      <c r="E27">
        <v>107404.34</v>
      </c>
    </row>
    <row r="28" spans="1:5" x14ac:dyDescent="0.3">
      <c r="A28">
        <v>75328.87</v>
      </c>
      <c r="B28">
        <v>144135.98000000001</v>
      </c>
      <c r="C28">
        <v>134050.07</v>
      </c>
      <c r="D28" t="s">
        <v>7</v>
      </c>
      <c r="E28">
        <v>105733.54</v>
      </c>
    </row>
    <row r="29" spans="1:5" x14ac:dyDescent="0.3">
      <c r="A29">
        <v>72107.600000000006</v>
      </c>
      <c r="B29">
        <v>127864.55</v>
      </c>
      <c r="C29">
        <v>353183.81</v>
      </c>
      <c r="D29" t="s">
        <v>5</v>
      </c>
      <c r="E29">
        <v>105008.31</v>
      </c>
    </row>
    <row r="30" spans="1:5" x14ac:dyDescent="0.3">
      <c r="A30">
        <v>66051.520000000004</v>
      </c>
      <c r="B30">
        <v>182645.56</v>
      </c>
      <c r="C30">
        <v>118148.2</v>
      </c>
      <c r="D30" t="s">
        <v>7</v>
      </c>
      <c r="E30">
        <v>103282.38</v>
      </c>
    </row>
    <row r="31" spans="1:5" x14ac:dyDescent="0.3">
      <c r="A31">
        <v>65605.48</v>
      </c>
      <c r="B31">
        <v>153032.06</v>
      </c>
      <c r="C31">
        <v>107138.38</v>
      </c>
      <c r="D31" t="s">
        <v>5</v>
      </c>
      <c r="E31">
        <v>101004.64</v>
      </c>
    </row>
    <row r="32" spans="1:5" x14ac:dyDescent="0.3">
      <c r="A32">
        <v>61994.48</v>
      </c>
      <c r="B32">
        <v>115641.28</v>
      </c>
      <c r="C32">
        <v>91131.24</v>
      </c>
      <c r="D32" t="s">
        <v>7</v>
      </c>
      <c r="E32">
        <v>99937.59</v>
      </c>
    </row>
    <row r="33" spans="1:5" x14ac:dyDescent="0.3">
      <c r="A33">
        <v>61136.38</v>
      </c>
      <c r="B33">
        <v>152701.92000000001</v>
      </c>
      <c r="C33">
        <v>88218.23</v>
      </c>
      <c r="D33" t="s">
        <v>5</v>
      </c>
      <c r="E33">
        <v>97483.56</v>
      </c>
    </row>
    <row r="34" spans="1:5" x14ac:dyDescent="0.3">
      <c r="A34">
        <v>63408.86</v>
      </c>
      <c r="B34">
        <v>129219.61</v>
      </c>
      <c r="C34">
        <v>46085.25</v>
      </c>
      <c r="D34" t="s">
        <v>6</v>
      </c>
      <c r="E34">
        <v>97427.839999999997</v>
      </c>
    </row>
    <row r="35" spans="1:5" x14ac:dyDescent="0.3">
      <c r="A35">
        <v>55493.95</v>
      </c>
      <c r="B35">
        <v>103057.49</v>
      </c>
      <c r="C35">
        <v>214634.81</v>
      </c>
      <c r="D35" t="s">
        <v>7</v>
      </c>
      <c r="E35">
        <v>96778.92</v>
      </c>
    </row>
    <row r="36" spans="1:5" x14ac:dyDescent="0.3">
      <c r="A36">
        <v>46426.07</v>
      </c>
      <c r="B36">
        <v>157693.92000000001</v>
      </c>
      <c r="C36">
        <v>210797.67</v>
      </c>
      <c r="D36" t="s">
        <v>6</v>
      </c>
      <c r="E36">
        <v>96712.8</v>
      </c>
    </row>
    <row r="37" spans="1:5" x14ac:dyDescent="0.3">
      <c r="A37">
        <v>46014.02</v>
      </c>
      <c r="B37">
        <v>85047.44</v>
      </c>
      <c r="C37">
        <v>205517.64</v>
      </c>
      <c r="D37" t="s">
        <v>5</v>
      </c>
      <c r="E37">
        <v>96479.51</v>
      </c>
    </row>
    <row r="38" spans="1:5" x14ac:dyDescent="0.3">
      <c r="A38">
        <v>28663.759999999998</v>
      </c>
      <c r="B38">
        <v>127056.21</v>
      </c>
      <c r="C38">
        <v>201126.82</v>
      </c>
      <c r="D38" t="s">
        <v>7</v>
      </c>
      <c r="E38">
        <v>90708.19</v>
      </c>
    </row>
    <row r="39" spans="1:5" x14ac:dyDescent="0.3">
      <c r="A39">
        <v>44069.95</v>
      </c>
      <c r="B39">
        <v>51283.14</v>
      </c>
      <c r="C39">
        <v>197029.42</v>
      </c>
      <c r="D39" t="s">
        <v>6</v>
      </c>
      <c r="E39">
        <v>89949.14</v>
      </c>
    </row>
    <row r="40" spans="1:5" x14ac:dyDescent="0.3">
      <c r="A40">
        <v>20229.59</v>
      </c>
      <c r="B40">
        <v>65947.929999999993</v>
      </c>
      <c r="C40">
        <v>185265.1</v>
      </c>
      <c r="D40" t="s">
        <v>5</v>
      </c>
      <c r="E40">
        <v>81229.06</v>
      </c>
    </row>
    <row r="41" spans="1:5" x14ac:dyDescent="0.3">
      <c r="A41">
        <v>38558.51</v>
      </c>
      <c r="B41">
        <v>82982.09</v>
      </c>
      <c r="C41">
        <v>174999.3</v>
      </c>
      <c r="D41" t="s">
        <v>6</v>
      </c>
      <c r="E41">
        <v>81005.759999999995</v>
      </c>
    </row>
    <row r="42" spans="1:5" x14ac:dyDescent="0.3">
      <c r="A42">
        <v>28754.33</v>
      </c>
      <c r="B42">
        <v>118546.05</v>
      </c>
      <c r="C42">
        <v>172795.67</v>
      </c>
      <c r="D42" t="s">
        <v>6</v>
      </c>
      <c r="E42">
        <v>78239.91</v>
      </c>
    </row>
    <row r="43" spans="1:5" x14ac:dyDescent="0.3">
      <c r="A43">
        <v>27892.92</v>
      </c>
      <c r="B43">
        <v>84710.77</v>
      </c>
      <c r="C43">
        <v>164470.71</v>
      </c>
      <c r="D43" t="s">
        <v>7</v>
      </c>
      <c r="E43">
        <v>77798.83</v>
      </c>
    </row>
    <row r="44" spans="1:5" x14ac:dyDescent="0.3">
      <c r="A44">
        <v>23640.93</v>
      </c>
      <c r="B44">
        <v>96189.63</v>
      </c>
      <c r="C44">
        <v>148001.10999999999</v>
      </c>
      <c r="D44" t="s">
        <v>6</v>
      </c>
      <c r="E44">
        <v>71498.490000000005</v>
      </c>
    </row>
    <row r="45" spans="1:5" x14ac:dyDescent="0.3">
      <c r="A45">
        <v>15505.73</v>
      </c>
      <c r="B45">
        <v>127382.3</v>
      </c>
      <c r="C45">
        <v>35534.17</v>
      </c>
      <c r="D45" t="s">
        <v>5</v>
      </c>
      <c r="E45">
        <v>69758.98</v>
      </c>
    </row>
    <row r="46" spans="1:5" x14ac:dyDescent="0.3">
      <c r="A46">
        <v>22177.74</v>
      </c>
      <c r="B46">
        <v>154806.14000000001</v>
      </c>
      <c r="C46">
        <v>28334.720000000001</v>
      </c>
      <c r="D46" t="s">
        <v>6</v>
      </c>
      <c r="E46">
        <v>65200.33</v>
      </c>
    </row>
    <row r="47" spans="1:5" x14ac:dyDescent="0.3">
      <c r="A47">
        <v>1000.23</v>
      </c>
      <c r="B47">
        <v>124153.04</v>
      </c>
      <c r="C47">
        <v>1903.93</v>
      </c>
      <c r="D47" t="s">
        <v>5</v>
      </c>
      <c r="E47">
        <v>64926.080000000002</v>
      </c>
    </row>
    <row r="48" spans="1:5" x14ac:dyDescent="0.3">
      <c r="A48">
        <v>1315.46</v>
      </c>
      <c r="B48">
        <v>115816.21</v>
      </c>
      <c r="C48">
        <v>297114.46000000002</v>
      </c>
      <c r="D48" t="s">
        <v>7</v>
      </c>
      <c r="E48">
        <v>49490.75</v>
      </c>
    </row>
    <row r="49" spans="1:5" x14ac:dyDescent="0.3">
      <c r="A49">
        <v>0</v>
      </c>
      <c r="B49">
        <v>135426.92000000001</v>
      </c>
      <c r="C49">
        <v>0</v>
      </c>
      <c r="D49" t="s">
        <v>6</v>
      </c>
      <c r="E49">
        <v>42559.73</v>
      </c>
    </row>
    <row r="50" spans="1:5" x14ac:dyDescent="0.3">
      <c r="A50">
        <v>542.04999999999995</v>
      </c>
      <c r="B50">
        <v>51743.15</v>
      </c>
      <c r="C50">
        <v>0</v>
      </c>
      <c r="D50" t="s">
        <v>5</v>
      </c>
      <c r="E50">
        <v>35673.410000000003</v>
      </c>
    </row>
    <row r="51" spans="1:5" x14ac:dyDescent="0.3">
      <c r="A51">
        <v>0</v>
      </c>
      <c r="B51">
        <v>116983.8</v>
      </c>
      <c r="C51">
        <v>45173.06</v>
      </c>
      <c r="D51" t="s">
        <v>6</v>
      </c>
      <c r="E51">
        <v>14681.4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A9221-783F-4006-B773-3A5B9584E343}">
  <dimension ref="A1:E51"/>
  <sheetViews>
    <sheetView topLeftCell="B1" zoomScaleNormal="100" workbookViewId="0">
      <selection activeCell="I41" sqref="I41"/>
    </sheetView>
  </sheetViews>
  <sheetFormatPr defaultRowHeight="14.4" x14ac:dyDescent="0.3"/>
  <cols>
    <col min="1" max="1" width="10" bestFit="1" customWidth="1"/>
    <col min="2" max="2" width="13.5546875" bestFit="1" customWidth="1"/>
    <col min="3" max="3" width="16.109375" bestFit="1" customWidth="1"/>
    <col min="4" max="4" width="10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 x14ac:dyDescent="0.3">
      <c r="A2">
        <v>165349.20000000001</v>
      </c>
      <c r="B2">
        <v>136897.79999999999</v>
      </c>
      <c r="C2">
        <v>471784.1</v>
      </c>
      <c r="D2">
        <v>192261.83</v>
      </c>
      <c r="E2" t="s">
        <v>5</v>
      </c>
    </row>
    <row r="3" spans="1:5" x14ac:dyDescent="0.3">
      <c r="A3">
        <v>162597.70000000001</v>
      </c>
      <c r="B3">
        <v>151377.59</v>
      </c>
      <c r="C3">
        <v>443898.53</v>
      </c>
      <c r="D3">
        <v>191792.06</v>
      </c>
      <c r="E3" t="s">
        <v>6</v>
      </c>
    </row>
    <row r="4" spans="1:5" x14ac:dyDescent="0.3">
      <c r="A4">
        <v>153441.51</v>
      </c>
      <c r="B4">
        <v>101145.55</v>
      </c>
      <c r="C4">
        <v>407934.54</v>
      </c>
      <c r="D4">
        <v>191050.39</v>
      </c>
      <c r="E4" t="s">
        <v>7</v>
      </c>
    </row>
    <row r="5" spans="1:5" x14ac:dyDescent="0.3">
      <c r="A5">
        <v>144372.41</v>
      </c>
      <c r="B5">
        <v>118671.85</v>
      </c>
      <c r="C5">
        <v>383199.62</v>
      </c>
      <c r="D5">
        <v>182901.99</v>
      </c>
      <c r="E5" t="s">
        <v>5</v>
      </c>
    </row>
    <row r="6" spans="1:5" x14ac:dyDescent="0.3">
      <c r="A6">
        <v>142107.34</v>
      </c>
      <c r="B6">
        <v>91391.77</v>
      </c>
      <c r="C6">
        <v>366168.42</v>
      </c>
      <c r="D6">
        <v>166187.94</v>
      </c>
      <c r="E6" t="s">
        <v>7</v>
      </c>
    </row>
    <row r="7" spans="1:5" x14ac:dyDescent="0.3">
      <c r="A7">
        <v>131876.9</v>
      </c>
      <c r="B7">
        <v>99814.71</v>
      </c>
      <c r="C7">
        <v>362861.36</v>
      </c>
      <c r="D7">
        <v>156991.12</v>
      </c>
      <c r="E7" t="s">
        <v>5</v>
      </c>
    </row>
    <row r="8" spans="1:5" x14ac:dyDescent="0.3">
      <c r="A8">
        <v>134615.46</v>
      </c>
      <c r="B8">
        <v>147198.87</v>
      </c>
      <c r="C8">
        <v>127716.82</v>
      </c>
      <c r="D8">
        <v>156122.51</v>
      </c>
      <c r="E8" t="s">
        <v>6</v>
      </c>
    </row>
    <row r="9" spans="1:5" x14ac:dyDescent="0.3">
      <c r="A9">
        <v>130298.13</v>
      </c>
      <c r="B9">
        <v>145530.06</v>
      </c>
      <c r="C9">
        <v>323876.68</v>
      </c>
      <c r="D9">
        <v>155752.6</v>
      </c>
      <c r="E9" t="s">
        <v>7</v>
      </c>
    </row>
    <row r="10" spans="1:5" x14ac:dyDescent="0.3">
      <c r="A10">
        <v>120542.52</v>
      </c>
      <c r="B10">
        <v>148718.95000000001</v>
      </c>
      <c r="C10">
        <v>311613.28999999998</v>
      </c>
      <c r="D10">
        <v>152211.76999999999</v>
      </c>
      <c r="E10" t="s">
        <v>5</v>
      </c>
    </row>
    <row r="11" spans="1:5" x14ac:dyDescent="0.3">
      <c r="A11">
        <v>123334.88</v>
      </c>
      <c r="B11">
        <v>108679.17</v>
      </c>
      <c r="C11">
        <v>304981.62</v>
      </c>
      <c r="D11">
        <v>149759.96</v>
      </c>
      <c r="E11" t="s">
        <v>6</v>
      </c>
    </row>
    <row r="12" spans="1:5" x14ac:dyDescent="0.3">
      <c r="A12">
        <v>101913.08</v>
      </c>
      <c r="B12">
        <v>110594.11</v>
      </c>
      <c r="C12">
        <v>229160.95</v>
      </c>
      <c r="D12">
        <v>146121.95000000001</v>
      </c>
      <c r="E12" t="s">
        <v>7</v>
      </c>
    </row>
    <row r="13" spans="1:5" x14ac:dyDescent="0.3">
      <c r="A13">
        <v>100671.96</v>
      </c>
      <c r="B13">
        <v>91790.61</v>
      </c>
      <c r="C13">
        <v>249744.55</v>
      </c>
      <c r="D13">
        <v>144259.4</v>
      </c>
      <c r="E13" t="s">
        <v>6</v>
      </c>
    </row>
    <row r="14" spans="1:5" x14ac:dyDescent="0.3">
      <c r="A14">
        <v>93863.75</v>
      </c>
      <c r="B14">
        <v>127320.38</v>
      </c>
      <c r="C14">
        <v>249839.44</v>
      </c>
      <c r="D14">
        <v>141585.51999999999</v>
      </c>
      <c r="E14" t="s">
        <v>7</v>
      </c>
    </row>
    <row r="15" spans="1:5" x14ac:dyDescent="0.3">
      <c r="A15">
        <v>91992.39</v>
      </c>
      <c r="B15">
        <v>135495.07</v>
      </c>
      <c r="C15">
        <v>252664.93</v>
      </c>
      <c r="D15">
        <v>134307.35</v>
      </c>
      <c r="E15" t="s">
        <v>6</v>
      </c>
    </row>
    <row r="16" spans="1:5" x14ac:dyDescent="0.3">
      <c r="A16">
        <v>119943.24</v>
      </c>
      <c r="B16">
        <v>156547.42000000001</v>
      </c>
      <c r="C16">
        <v>256512.92</v>
      </c>
      <c r="D16">
        <v>132602.65</v>
      </c>
      <c r="E16" t="s">
        <v>7</v>
      </c>
    </row>
    <row r="17" spans="1:5" x14ac:dyDescent="0.3">
      <c r="A17">
        <v>114523.61</v>
      </c>
      <c r="B17">
        <v>122616.84</v>
      </c>
      <c r="C17">
        <v>261776.23</v>
      </c>
      <c r="D17">
        <v>129917.04</v>
      </c>
      <c r="E17" t="s">
        <v>5</v>
      </c>
    </row>
    <row r="18" spans="1:5" x14ac:dyDescent="0.3">
      <c r="A18">
        <v>78013.11</v>
      </c>
      <c r="B18">
        <v>121597.55</v>
      </c>
      <c r="C18">
        <v>264346.06</v>
      </c>
      <c r="D18">
        <v>126992.93</v>
      </c>
      <c r="E18" t="s">
        <v>6</v>
      </c>
    </row>
    <row r="19" spans="1:5" x14ac:dyDescent="0.3">
      <c r="A19">
        <v>94657.16</v>
      </c>
      <c r="B19">
        <v>145077.57999999999</v>
      </c>
      <c r="C19">
        <v>282574.31</v>
      </c>
      <c r="D19">
        <v>125370.37</v>
      </c>
      <c r="E19" t="s">
        <v>5</v>
      </c>
    </row>
    <row r="20" spans="1:5" x14ac:dyDescent="0.3">
      <c r="A20">
        <v>91749.16</v>
      </c>
      <c r="B20">
        <v>114175.79</v>
      </c>
      <c r="C20">
        <v>294919.57</v>
      </c>
      <c r="D20">
        <v>124266.9</v>
      </c>
      <c r="E20" t="s">
        <v>7</v>
      </c>
    </row>
    <row r="21" spans="1:5" x14ac:dyDescent="0.3">
      <c r="A21">
        <v>86419.7</v>
      </c>
      <c r="B21">
        <v>153514.10999999999</v>
      </c>
      <c r="C21">
        <v>0</v>
      </c>
      <c r="D21">
        <v>122776.86</v>
      </c>
      <c r="E21" t="s">
        <v>5</v>
      </c>
    </row>
    <row r="22" spans="1:5" x14ac:dyDescent="0.3">
      <c r="A22">
        <v>76253.86</v>
      </c>
      <c r="B22">
        <v>113867.3</v>
      </c>
      <c r="C22">
        <v>298664.46999999997</v>
      </c>
      <c r="D22">
        <v>118474.03</v>
      </c>
      <c r="E22" t="s">
        <v>6</v>
      </c>
    </row>
    <row r="23" spans="1:5" x14ac:dyDescent="0.3">
      <c r="A23">
        <v>78389.47</v>
      </c>
      <c r="B23">
        <v>153773.43</v>
      </c>
      <c r="C23">
        <v>299737.28999999998</v>
      </c>
      <c r="D23">
        <v>111313.02</v>
      </c>
      <c r="E23" t="s">
        <v>5</v>
      </c>
    </row>
    <row r="24" spans="1:5" x14ac:dyDescent="0.3">
      <c r="A24">
        <v>73994.559999999998</v>
      </c>
      <c r="B24">
        <v>122782.75</v>
      </c>
      <c r="C24">
        <v>303319.26</v>
      </c>
      <c r="D24">
        <v>110352.25</v>
      </c>
      <c r="E24" t="s">
        <v>7</v>
      </c>
    </row>
    <row r="25" spans="1:5" x14ac:dyDescent="0.3">
      <c r="A25">
        <v>67532.53</v>
      </c>
      <c r="B25">
        <v>105751.03</v>
      </c>
      <c r="C25">
        <v>304768.73</v>
      </c>
      <c r="D25">
        <v>108733.99</v>
      </c>
      <c r="E25" t="s">
        <v>7</v>
      </c>
    </row>
    <row r="26" spans="1:5" x14ac:dyDescent="0.3">
      <c r="A26">
        <v>77044.009999999995</v>
      </c>
      <c r="B26">
        <v>99281.34</v>
      </c>
      <c r="C26">
        <v>140574.81</v>
      </c>
      <c r="D26">
        <v>108552.04</v>
      </c>
      <c r="E26" t="s">
        <v>5</v>
      </c>
    </row>
    <row r="27" spans="1:5" x14ac:dyDescent="0.3">
      <c r="A27">
        <v>64664.71</v>
      </c>
      <c r="B27">
        <v>139553.16</v>
      </c>
      <c r="C27">
        <v>137962.62</v>
      </c>
      <c r="D27">
        <v>107404.34</v>
      </c>
      <c r="E27" t="s">
        <v>6</v>
      </c>
    </row>
    <row r="28" spans="1:5" x14ac:dyDescent="0.3">
      <c r="A28">
        <v>75328.87</v>
      </c>
      <c r="B28">
        <v>144135.98000000001</v>
      </c>
      <c r="C28">
        <v>134050.07</v>
      </c>
      <c r="D28">
        <v>105733.54</v>
      </c>
      <c r="E28" t="s">
        <v>7</v>
      </c>
    </row>
    <row r="29" spans="1:5" x14ac:dyDescent="0.3">
      <c r="A29">
        <v>72107.600000000006</v>
      </c>
      <c r="B29">
        <v>127864.55</v>
      </c>
      <c r="C29">
        <v>353183.81</v>
      </c>
      <c r="D29">
        <v>105008.31</v>
      </c>
      <c r="E29" t="s">
        <v>5</v>
      </c>
    </row>
    <row r="30" spans="1:5" x14ac:dyDescent="0.3">
      <c r="A30">
        <v>66051.520000000004</v>
      </c>
      <c r="B30">
        <v>182645.56</v>
      </c>
      <c r="C30">
        <v>118148.2</v>
      </c>
      <c r="D30">
        <v>103282.38</v>
      </c>
      <c r="E30" t="s">
        <v>7</v>
      </c>
    </row>
    <row r="31" spans="1:5" x14ac:dyDescent="0.3">
      <c r="A31">
        <v>65605.48</v>
      </c>
      <c r="B31">
        <v>153032.06</v>
      </c>
      <c r="C31">
        <v>107138.38</v>
      </c>
      <c r="D31">
        <v>101004.64</v>
      </c>
      <c r="E31" t="s">
        <v>5</v>
      </c>
    </row>
    <row r="32" spans="1:5" x14ac:dyDescent="0.3">
      <c r="A32">
        <v>61994.48</v>
      </c>
      <c r="B32">
        <v>115641.28</v>
      </c>
      <c r="C32">
        <v>91131.24</v>
      </c>
      <c r="D32">
        <v>99937.59</v>
      </c>
      <c r="E32" t="s">
        <v>7</v>
      </c>
    </row>
    <row r="33" spans="1:5" x14ac:dyDescent="0.3">
      <c r="A33">
        <v>61136.38</v>
      </c>
      <c r="B33">
        <v>152701.92000000001</v>
      </c>
      <c r="C33">
        <v>88218.23</v>
      </c>
      <c r="D33">
        <v>97483.56</v>
      </c>
      <c r="E33" t="s">
        <v>5</v>
      </c>
    </row>
    <row r="34" spans="1:5" x14ac:dyDescent="0.3">
      <c r="A34">
        <v>63408.86</v>
      </c>
      <c r="B34">
        <v>129219.61</v>
      </c>
      <c r="C34">
        <v>46085.25</v>
      </c>
      <c r="D34">
        <v>97427.839999999997</v>
      </c>
      <c r="E34" t="s">
        <v>6</v>
      </c>
    </row>
    <row r="35" spans="1:5" x14ac:dyDescent="0.3">
      <c r="A35">
        <v>55493.95</v>
      </c>
      <c r="B35">
        <v>103057.49</v>
      </c>
      <c r="C35">
        <v>214634.81</v>
      </c>
      <c r="D35">
        <v>96778.92</v>
      </c>
      <c r="E35" t="s">
        <v>7</v>
      </c>
    </row>
    <row r="36" spans="1:5" x14ac:dyDescent="0.3">
      <c r="A36">
        <v>46426.07</v>
      </c>
      <c r="B36">
        <v>157693.92000000001</v>
      </c>
      <c r="C36">
        <v>210797.67</v>
      </c>
      <c r="D36">
        <v>96712.8</v>
      </c>
      <c r="E36" t="s">
        <v>6</v>
      </c>
    </row>
    <row r="37" spans="1:5" x14ac:dyDescent="0.3">
      <c r="A37">
        <v>46014.02</v>
      </c>
      <c r="B37">
        <v>85047.44</v>
      </c>
      <c r="C37">
        <v>205517.64</v>
      </c>
      <c r="D37">
        <v>96479.51</v>
      </c>
      <c r="E37" t="s">
        <v>5</v>
      </c>
    </row>
    <row r="38" spans="1:5" x14ac:dyDescent="0.3">
      <c r="A38">
        <v>28663.759999999998</v>
      </c>
      <c r="B38">
        <v>127056.21</v>
      </c>
      <c r="C38">
        <v>201126.82</v>
      </c>
      <c r="D38">
        <v>90708.19</v>
      </c>
      <c r="E38" t="s">
        <v>7</v>
      </c>
    </row>
    <row r="39" spans="1:5" x14ac:dyDescent="0.3">
      <c r="A39">
        <v>44069.95</v>
      </c>
      <c r="B39">
        <v>51283.14</v>
      </c>
      <c r="C39">
        <v>197029.42</v>
      </c>
      <c r="D39">
        <v>89949.14</v>
      </c>
      <c r="E39" t="s">
        <v>6</v>
      </c>
    </row>
    <row r="40" spans="1:5" x14ac:dyDescent="0.3">
      <c r="A40">
        <v>20229.59</v>
      </c>
      <c r="B40">
        <v>65947.929999999993</v>
      </c>
      <c r="C40">
        <v>185265.1</v>
      </c>
      <c r="D40">
        <v>81229.06</v>
      </c>
      <c r="E40" t="s">
        <v>5</v>
      </c>
    </row>
    <row r="41" spans="1:5" x14ac:dyDescent="0.3">
      <c r="A41">
        <v>38558.51</v>
      </c>
      <c r="B41">
        <v>82982.09</v>
      </c>
      <c r="C41">
        <v>174999.3</v>
      </c>
      <c r="D41">
        <v>81005.759999999995</v>
      </c>
      <c r="E41" t="s">
        <v>6</v>
      </c>
    </row>
    <row r="42" spans="1:5" x14ac:dyDescent="0.3">
      <c r="A42">
        <v>28754.33</v>
      </c>
      <c r="B42">
        <v>118546.05</v>
      </c>
      <c r="C42">
        <v>172795.67</v>
      </c>
      <c r="D42">
        <v>78239.91</v>
      </c>
      <c r="E42" t="s">
        <v>6</v>
      </c>
    </row>
    <row r="43" spans="1:5" x14ac:dyDescent="0.3">
      <c r="A43">
        <v>27892.92</v>
      </c>
      <c r="B43">
        <v>84710.77</v>
      </c>
      <c r="C43">
        <v>164470.71</v>
      </c>
      <c r="D43">
        <v>77798.83</v>
      </c>
      <c r="E43" t="s">
        <v>7</v>
      </c>
    </row>
    <row r="44" spans="1:5" x14ac:dyDescent="0.3">
      <c r="A44">
        <v>23640.93</v>
      </c>
      <c r="B44">
        <v>96189.63</v>
      </c>
      <c r="C44">
        <v>148001.10999999999</v>
      </c>
      <c r="D44">
        <v>71498.490000000005</v>
      </c>
      <c r="E44" t="s">
        <v>6</v>
      </c>
    </row>
    <row r="45" spans="1:5" x14ac:dyDescent="0.3">
      <c r="A45">
        <v>15505.73</v>
      </c>
      <c r="B45">
        <v>127382.3</v>
      </c>
      <c r="C45">
        <v>35534.17</v>
      </c>
      <c r="D45">
        <v>69758.98</v>
      </c>
      <c r="E45" t="s">
        <v>5</v>
      </c>
    </row>
    <row r="46" spans="1:5" x14ac:dyDescent="0.3">
      <c r="A46">
        <v>22177.74</v>
      </c>
      <c r="B46">
        <v>154806.14000000001</v>
      </c>
      <c r="C46">
        <v>28334.720000000001</v>
      </c>
      <c r="D46">
        <v>65200.33</v>
      </c>
      <c r="E46" t="s">
        <v>6</v>
      </c>
    </row>
    <row r="47" spans="1:5" x14ac:dyDescent="0.3">
      <c r="A47">
        <v>1000.23</v>
      </c>
      <c r="B47">
        <v>124153.04</v>
      </c>
      <c r="C47">
        <v>1903.93</v>
      </c>
      <c r="D47">
        <v>64926.080000000002</v>
      </c>
      <c r="E47" t="s">
        <v>5</v>
      </c>
    </row>
    <row r="48" spans="1:5" x14ac:dyDescent="0.3">
      <c r="A48">
        <v>1315.46</v>
      </c>
      <c r="B48">
        <v>115816.21</v>
      </c>
      <c r="C48">
        <v>297114.46000000002</v>
      </c>
      <c r="D48">
        <v>49490.75</v>
      </c>
      <c r="E48" t="s">
        <v>7</v>
      </c>
    </row>
    <row r="49" spans="1:5" x14ac:dyDescent="0.3">
      <c r="A49">
        <v>0</v>
      </c>
      <c r="B49">
        <v>135426.92000000001</v>
      </c>
      <c r="C49">
        <v>0</v>
      </c>
      <c r="D49">
        <v>42559.73</v>
      </c>
      <c r="E49" t="s">
        <v>6</v>
      </c>
    </row>
    <row r="50" spans="1:5" x14ac:dyDescent="0.3">
      <c r="A50">
        <v>542.04999999999995</v>
      </c>
      <c r="B50">
        <v>51743.15</v>
      </c>
      <c r="C50">
        <v>0</v>
      </c>
      <c r="D50">
        <v>35673.410000000003</v>
      </c>
      <c r="E50" t="s">
        <v>5</v>
      </c>
    </row>
    <row r="51" spans="1:5" x14ac:dyDescent="0.3">
      <c r="A51">
        <v>0</v>
      </c>
      <c r="B51">
        <v>116983.8</v>
      </c>
      <c r="C51">
        <v>45173.06</v>
      </c>
      <c r="D51">
        <v>14681.4</v>
      </c>
      <c r="E51" t="s">
        <v>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DB481-CCC1-4C43-AC60-6C4A0E69CDAC}">
  <dimension ref="A1:M23"/>
  <sheetViews>
    <sheetView workbookViewId="0">
      <selection activeCell="E25" sqref="E25"/>
    </sheetView>
  </sheetViews>
  <sheetFormatPr defaultRowHeight="14.4" x14ac:dyDescent="0.3"/>
  <cols>
    <col min="1" max="1" width="16.5546875" bestFit="1" customWidth="1"/>
    <col min="2" max="2" width="12.6640625" bestFit="1" customWidth="1"/>
    <col min="3" max="3" width="16.5546875" bestFit="1" customWidth="1"/>
    <col min="4" max="4" width="12" bestFit="1" customWidth="1"/>
    <col min="5" max="5" width="16.88671875" bestFit="1" customWidth="1"/>
    <col min="6" max="6" width="12.6640625" bestFit="1" customWidth="1"/>
    <col min="7" max="7" width="16.5546875" bestFit="1" customWidth="1"/>
  </cols>
  <sheetData>
    <row r="1" spans="1:10" x14ac:dyDescent="0.3">
      <c r="A1" s="15" t="s">
        <v>0</v>
      </c>
      <c r="B1" s="15"/>
      <c r="C1" s="15" t="s">
        <v>1</v>
      </c>
      <c r="D1" s="15"/>
      <c r="E1" s="15" t="s">
        <v>2</v>
      </c>
      <c r="F1" s="15"/>
      <c r="G1" s="15" t="s">
        <v>4</v>
      </c>
      <c r="H1" s="15"/>
      <c r="I1" s="16"/>
    </row>
    <row r="3" spans="1:10" x14ac:dyDescent="0.3">
      <c r="A3" t="s">
        <v>8</v>
      </c>
      <c r="B3">
        <v>73721.61559999999</v>
      </c>
      <c r="C3" t="s">
        <v>8</v>
      </c>
      <c r="D3">
        <v>121344.63959999995</v>
      </c>
      <c r="E3" t="s">
        <v>8</v>
      </c>
      <c r="F3">
        <v>211025.09780000005</v>
      </c>
      <c r="G3" t="s">
        <v>8</v>
      </c>
      <c r="H3">
        <v>112012.63920000002</v>
      </c>
    </row>
    <row r="4" spans="1:10" x14ac:dyDescent="0.3">
      <c r="A4" t="s">
        <v>9</v>
      </c>
      <c r="B4">
        <v>6491.5593660807708</v>
      </c>
      <c r="C4" t="s">
        <v>9</v>
      </c>
      <c r="D4">
        <v>3962.3156644706723</v>
      </c>
      <c r="E4" t="s">
        <v>9</v>
      </c>
      <c r="F4">
        <v>17294.46159753103</v>
      </c>
      <c r="G4" t="s">
        <v>9</v>
      </c>
      <c r="H4">
        <v>5700.1546880961005</v>
      </c>
    </row>
    <row r="5" spans="1:10" x14ac:dyDescent="0.3">
      <c r="A5" t="s">
        <v>10</v>
      </c>
      <c r="B5">
        <v>73051.08</v>
      </c>
      <c r="C5" t="s">
        <v>10</v>
      </c>
      <c r="D5">
        <v>122699.795</v>
      </c>
      <c r="E5" t="s">
        <v>10</v>
      </c>
      <c r="F5">
        <v>212716.24</v>
      </c>
      <c r="G5" t="s">
        <v>10</v>
      </c>
      <c r="H5">
        <v>107978.19</v>
      </c>
      <c r="J5" t="s">
        <v>60</v>
      </c>
    </row>
    <row r="6" spans="1:10" x14ac:dyDescent="0.3">
      <c r="A6" t="s">
        <v>11</v>
      </c>
      <c r="B6">
        <v>0</v>
      </c>
      <c r="C6" t="s">
        <v>11</v>
      </c>
      <c r="D6" t="e">
        <v>#N/A</v>
      </c>
      <c r="E6" t="s">
        <v>11</v>
      </c>
      <c r="F6">
        <v>0</v>
      </c>
      <c r="G6" t="s">
        <v>11</v>
      </c>
      <c r="H6" t="e">
        <v>#N/A</v>
      </c>
    </row>
    <row r="7" spans="1:10" x14ac:dyDescent="0.3">
      <c r="A7" t="s">
        <v>12</v>
      </c>
      <c r="B7">
        <v>45902.256482307588</v>
      </c>
      <c r="C7" t="s">
        <v>12</v>
      </c>
      <c r="D7">
        <v>28017.802755488934</v>
      </c>
      <c r="E7" t="s">
        <v>12</v>
      </c>
      <c r="F7">
        <v>122290.31072584524</v>
      </c>
      <c r="G7" t="s">
        <v>12</v>
      </c>
      <c r="H7">
        <v>40306.180337650425</v>
      </c>
    </row>
    <row r="8" spans="1:10" x14ac:dyDescent="0.3">
      <c r="A8" t="s">
        <v>13</v>
      </c>
      <c r="B8">
        <v>2107017150.1675489</v>
      </c>
      <c r="C8" t="s">
        <v>13</v>
      </c>
      <c r="D8">
        <v>784997271.2454834</v>
      </c>
      <c r="E8" t="s">
        <v>13</v>
      </c>
      <c r="F8">
        <v>14954920097.423779</v>
      </c>
      <c r="G8" t="s">
        <v>13</v>
      </c>
      <c r="H8">
        <v>1624588173.4111977</v>
      </c>
    </row>
    <row r="9" spans="1:10" x14ac:dyDescent="0.3">
      <c r="A9" t="s">
        <v>14</v>
      </c>
      <c r="B9">
        <v>-0.76146455684246694</v>
      </c>
      <c r="C9" t="s">
        <v>14</v>
      </c>
      <c r="D9">
        <v>0.22507113536864853</v>
      </c>
      <c r="E9" t="s">
        <v>14</v>
      </c>
      <c r="F9">
        <v>-0.67170112812975091</v>
      </c>
      <c r="G9" t="s">
        <v>14</v>
      </c>
      <c r="H9">
        <v>-6.3858885468531135E-2</v>
      </c>
    </row>
    <row r="10" spans="1:10" x14ac:dyDescent="0.3">
      <c r="A10" t="s">
        <v>15</v>
      </c>
      <c r="B10">
        <v>0.1640021723211775</v>
      </c>
      <c r="C10" t="s">
        <v>15</v>
      </c>
      <c r="D10">
        <v>-0.48902480996717024</v>
      </c>
      <c r="E10" t="s">
        <v>15</v>
      </c>
      <c r="F10">
        <v>-4.647226758360494E-2</v>
      </c>
      <c r="G10" t="s">
        <v>15</v>
      </c>
      <c r="H10">
        <v>2.3291019769116728E-2</v>
      </c>
    </row>
    <row r="11" spans="1:10" x14ac:dyDescent="0.3">
      <c r="A11" t="s">
        <v>16</v>
      </c>
      <c r="B11">
        <v>165349.20000000001</v>
      </c>
      <c r="C11" t="s">
        <v>16</v>
      </c>
      <c r="D11">
        <v>131362.41999999998</v>
      </c>
      <c r="E11" t="s">
        <v>16</v>
      </c>
      <c r="F11">
        <v>471784.1</v>
      </c>
      <c r="G11" t="s">
        <v>16</v>
      </c>
      <c r="H11">
        <v>177580.43</v>
      </c>
    </row>
    <row r="12" spans="1:10" x14ac:dyDescent="0.3">
      <c r="A12" t="s">
        <v>17</v>
      </c>
      <c r="B12">
        <v>0</v>
      </c>
      <c r="C12" t="s">
        <v>17</v>
      </c>
      <c r="D12">
        <v>51283.14</v>
      </c>
      <c r="E12" t="s">
        <v>17</v>
      </c>
      <c r="F12">
        <v>0</v>
      </c>
      <c r="G12" t="s">
        <v>17</v>
      </c>
      <c r="H12">
        <v>14681.4</v>
      </c>
    </row>
    <row r="13" spans="1:10" x14ac:dyDescent="0.3">
      <c r="A13" t="s">
        <v>18</v>
      </c>
      <c r="B13">
        <v>165349.20000000001</v>
      </c>
      <c r="C13" t="s">
        <v>18</v>
      </c>
      <c r="D13">
        <v>182645.56</v>
      </c>
      <c r="E13" t="s">
        <v>18</v>
      </c>
      <c r="F13">
        <v>471784.1</v>
      </c>
      <c r="G13" t="s">
        <v>18</v>
      </c>
      <c r="H13">
        <v>192261.83</v>
      </c>
    </row>
    <row r="14" spans="1:10" x14ac:dyDescent="0.3">
      <c r="A14" t="s">
        <v>19</v>
      </c>
      <c r="B14">
        <v>3686080.78</v>
      </c>
      <c r="C14" t="s">
        <v>19</v>
      </c>
      <c r="D14">
        <v>6067231.9799999977</v>
      </c>
      <c r="E14" t="s">
        <v>19</v>
      </c>
      <c r="F14">
        <v>10551254.890000002</v>
      </c>
      <c r="G14" t="s">
        <v>19</v>
      </c>
      <c r="H14">
        <v>5600631.9600000009</v>
      </c>
    </row>
    <row r="15" spans="1:10" ht="15" thickBot="1" x14ac:dyDescent="0.35">
      <c r="A15" s="2" t="s">
        <v>20</v>
      </c>
      <c r="B15" s="2">
        <v>50</v>
      </c>
      <c r="C15" s="2" t="s">
        <v>20</v>
      </c>
      <c r="D15" s="2">
        <v>50</v>
      </c>
      <c r="E15" s="2" t="s">
        <v>20</v>
      </c>
      <c r="F15" s="2">
        <v>50</v>
      </c>
      <c r="G15" s="2" t="s">
        <v>20</v>
      </c>
      <c r="H15" s="2">
        <v>50</v>
      </c>
    </row>
    <row r="18" spans="1:13" x14ac:dyDescent="0.3">
      <c r="A18" s="9" t="s">
        <v>63</v>
      </c>
      <c r="B18" s="9"/>
      <c r="C18" s="9"/>
      <c r="D18" s="9"/>
      <c r="E18" s="9"/>
    </row>
    <row r="19" spans="1:13" x14ac:dyDescent="0.3">
      <c r="A19" s="17" t="s">
        <v>64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"/>
    </row>
    <row r="20" spans="1:13" x14ac:dyDescent="0.3">
      <c r="A20" s="17" t="s">
        <v>65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"/>
    </row>
    <row r="21" spans="1:13" x14ac:dyDescent="0.3">
      <c r="A21" s="17" t="s">
        <v>66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"/>
    </row>
    <row r="22" spans="1:13" x14ac:dyDescent="0.3">
      <c r="A22" s="9" t="s">
        <v>67</v>
      </c>
      <c r="B22" s="10"/>
      <c r="C22" s="10"/>
      <c r="D22" s="10"/>
      <c r="E22" s="10"/>
      <c r="F22" s="10"/>
      <c r="G22" s="10"/>
    </row>
    <row r="23" spans="1:13" x14ac:dyDescent="0.3">
      <c r="A23" s="18" t="s">
        <v>68</v>
      </c>
      <c r="B23" s="19"/>
      <c r="C23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45C6F-C1B0-4B8B-9D5A-7B5F1CE02187}">
  <dimension ref="A1:Z51"/>
  <sheetViews>
    <sheetView topLeftCell="A3" zoomScale="78" workbookViewId="0">
      <selection activeCell="J33" sqref="J33"/>
    </sheetView>
  </sheetViews>
  <sheetFormatPr defaultRowHeight="14.4" x14ac:dyDescent="0.3"/>
  <cols>
    <col min="1" max="1" width="11.5546875" customWidth="1"/>
    <col min="2" max="2" width="15.33203125" customWidth="1"/>
    <col min="3" max="3" width="17.77734375" customWidth="1"/>
    <col min="4" max="4" width="9.77734375" bestFit="1" customWidth="1"/>
    <col min="8" max="8" width="13.44140625" bestFit="1" customWidth="1"/>
    <col min="9" max="9" width="20.21875" customWidth="1"/>
    <col min="10" max="10" width="13.33203125" customWidth="1"/>
    <col min="11" max="12" width="13.5546875" bestFit="1" customWidth="1"/>
    <col min="13" max="15" width="9" bestFit="1" customWidth="1"/>
    <col min="19" max="19" width="9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26" x14ac:dyDescent="0.3">
      <c r="A2">
        <v>165349.20000000001</v>
      </c>
      <c r="B2">
        <v>136897.79999999999</v>
      </c>
      <c r="C2">
        <v>471784.1</v>
      </c>
      <c r="D2">
        <v>192261.83</v>
      </c>
      <c r="E2" t="s">
        <v>5</v>
      </c>
    </row>
    <row r="3" spans="1:26" x14ac:dyDescent="0.3">
      <c r="A3">
        <v>162597.70000000001</v>
      </c>
      <c r="B3">
        <v>151377.59</v>
      </c>
      <c r="C3">
        <v>443898.53</v>
      </c>
      <c r="D3">
        <v>191792.06</v>
      </c>
      <c r="E3" t="s">
        <v>6</v>
      </c>
    </row>
    <row r="4" spans="1:26" x14ac:dyDescent="0.3">
      <c r="A4">
        <v>153441.51</v>
      </c>
      <c r="B4">
        <v>101145.55</v>
      </c>
      <c r="C4">
        <v>407934.54</v>
      </c>
      <c r="D4">
        <v>191050.39</v>
      </c>
      <c r="E4" t="s">
        <v>7</v>
      </c>
      <c r="G4" s="5" t="s">
        <v>21</v>
      </c>
    </row>
    <row r="5" spans="1:26" x14ac:dyDescent="0.3">
      <c r="A5">
        <v>144372.41</v>
      </c>
      <c r="B5">
        <v>118671.85</v>
      </c>
      <c r="C5">
        <v>383199.62</v>
      </c>
      <c r="D5">
        <v>182901.99</v>
      </c>
      <c r="E5" t="s">
        <v>5</v>
      </c>
    </row>
    <row r="6" spans="1:26" x14ac:dyDescent="0.3">
      <c r="A6">
        <v>142107.34</v>
      </c>
      <c r="B6">
        <v>91391.77</v>
      </c>
      <c r="C6">
        <v>366168.42</v>
      </c>
      <c r="D6">
        <v>166187.94</v>
      </c>
      <c r="E6" t="s">
        <v>7</v>
      </c>
      <c r="G6" t="s">
        <v>22</v>
      </c>
    </row>
    <row r="7" spans="1:26" ht="15" thickBot="1" x14ac:dyDescent="0.35">
      <c r="A7">
        <v>131876.9</v>
      </c>
      <c r="B7">
        <v>99814.71</v>
      </c>
      <c r="C7">
        <v>362861.36</v>
      </c>
      <c r="D7">
        <v>156991.12</v>
      </c>
      <c r="E7" t="s">
        <v>5</v>
      </c>
    </row>
    <row r="8" spans="1:26" x14ac:dyDescent="0.3">
      <c r="A8">
        <v>134615.46</v>
      </c>
      <c r="B8">
        <v>147198.87</v>
      </c>
      <c r="C8">
        <v>127716.82</v>
      </c>
      <c r="D8">
        <v>156122.51</v>
      </c>
      <c r="E8" t="s">
        <v>6</v>
      </c>
      <c r="G8" s="4" t="s">
        <v>23</v>
      </c>
      <c r="H8" s="4"/>
    </row>
    <row r="9" spans="1:26" x14ac:dyDescent="0.3">
      <c r="A9">
        <v>130298.13</v>
      </c>
      <c r="B9">
        <v>145530.06</v>
      </c>
      <c r="C9">
        <v>323876.68</v>
      </c>
      <c r="D9">
        <v>155752.6</v>
      </c>
      <c r="E9" t="s">
        <v>7</v>
      </c>
      <c r="G9" t="s">
        <v>24</v>
      </c>
      <c r="H9">
        <v>0.97506204626594128</v>
      </c>
      <c r="I9" s="7" t="s">
        <v>54</v>
      </c>
      <c r="J9" s="7"/>
      <c r="K9" s="7"/>
      <c r="L9" s="7"/>
      <c r="M9" s="7"/>
      <c r="N9" s="7"/>
      <c r="O9" s="7"/>
      <c r="P9" s="8"/>
      <c r="Q9" s="8"/>
      <c r="R9" s="8"/>
    </row>
    <row r="10" spans="1:26" x14ac:dyDescent="0.3">
      <c r="A10">
        <v>120542.52</v>
      </c>
      <c r="B10">
        <v>148718.95000000001</v>
      </c>
      <c r="C10">
        <v>311613.28999999998</v>
      </c>
      <c r="D10">
        <v>152211.76999999999</v>
      </c>
      <c r="E10" t="s">
        <v>5</v>
      </c>
      <c r="G10" t="s">
        <v>25</v>
      </c>
      <c r="H10">
        <v>0.95074599406832461</v>
      </c>
      <c r="I10" s="7" t="s">
        <v>55</v>
      </c>
      <c r="J10" s="8"/>
      <c r="K10" s="8"/>
      <c r="L10" s="8"/>
      <c r="M10" s="8"/>
      <c r="N10" s="8"/>
      <c r="O10" s="8"/>
      <c r="P10" s="8"/>
      <c r="Q10" s="8"/>
      <c r="R10" s="8"/>
    </row>
    <row r="11" spans="1:26" x14ac:dyDescent="0.3">
      <c r="A11">
        <v>123334.88</v>
      </c>
      <c r="B11">
        <v>108679.17</v>
      </c>
      <c r="C11">
        <v>304981.62</v>
      </c>
      <c r="D11">
        <v>149759.96</v>
      </c>
      <c r="E11" t="s">
        <v>6</v>
      </c>
      <c r="G11" t="s">
        <v>26</v>
      </c>
      <c r="H11">
        <v>0.94753377629017177</v>
      </c>
      <c r="I11" s="7" t="s">
        <v>56</v>
      </c>
      <c r="J11" s="8"/>
      <c r="K11" s="8"/>
      <c r="L11" s="8"/>
      <c r="M11" s="8"/>
      <c r="N11" s="8"/>
      <c r="O11" s="8"/>
      <c r="P11" s="8"/>
      <c r="Q11" s="8"/>
      <c r="R11" s="8"/>
    </row>
    <row r="12" spans="1:26" x14ac:dyDescent="0.3">
      <c r="A12">
        <v>101913.08</v>
      </c>
      <c r="B12">
        <v>110594.11</v>
      </c>
      <c r="C12">
        <v>229160.95</v>
      </c>
      <c r="D12">
        <v>146121.95000000001</v>
      </c>
      <c r="E12" t="s">
        <v>7</v>
      </c>
      <c r="G12" t="s">
        <v>9</v>
      </c>
      <c r="H12">
        <v>9232.3348370026924</v>
      </c>
    </row>
    <row r="13" spans="1:26" ht="15" thickBot="1" x14ac:dyDescent="0.35">
      <c r="A13">
        <v>100671.96</v>
      </c>
      <c r="B13">
        <v>91790.61</v>
      </c>
      <c r="C13">
        <v>249744.55</v>
      </c>
      <c r="D13">
        <v>144259.4</v>
      </c>
      <c r="E13" t="s">
        <v>6</v>
      </c>
      <c r="G13" s="2" t="s">
        <v>27</v>
      </c>
      <c r="H13" s="2">
        <v>50</v>
      </c>
    </row>
    <row r="14" spans="1:26" x14ac:dyDescent="0.3">
      <c r="A14">
        <v>93863.75</v>
      </c>
      <c r="B14">
        <v>127320.38</v>
      </c>
      <c r="C14">
        <v>249839.44</v>
      </c>
      <c r="D14">
        <v>141585.51999999999</v>
      </c>
      <c r="E14" t="s">
        <v>7</v>
      </c>
    </row>
    <row r="15" spans="1:26" ht="15" thickBot="1" x14ac:dyDescent="0.35">
      <c r="A15">
        <v>91992.39</v>
      </c>
      <c r="B15">
        <v>135495.07</v>
      </c>
      <c r="C15">
        <v>252664.93</v>
      </c>
      <c r="D15">
        <v>134307.35</v>
      </c>
      <c r="E15" t="s">
        <v>6</v>
      </c>
      <c r="G15" t="s">
        <v>28</v>
      </c>
    </row>
    <row r="16" spans="1:26" x14ac:dyDescent="0.3">
      <c r="A16">
        <v>119943.24</v>
      </c>
      <c r="B16">
        <v>156547.42000000001</v>
      </c>
      <c r="C16">
        <v>256512.92</v>
      </c>
      <c r="D16">
        <v>132602.65</v>
      </c>
      <c r="E16" t="s">
        <v>7</v>
      </c>
      <c r="G16" s="3"/>
      <c r="H16" s="3" t="s">
        <v>33</v>
      </c>
      <c r="I16" s="3" t="s">
        <v>34</v>
      </c>
      <c r="J16" s="3" t="s">
        <v>35</v>
      </c>
      <c r="K16" s="3" t="s">
        <v>36</v>
      </c>
      <c r="L16" s="3" t="s">
        <v>37</v>
      </c>
      <c r="Q16" s="9" t="s">
        <v>62</v>
      </c>
      <c r="R16" s="9"/>
      <c r="S16" s="9"/>
      <c r="T16" s="9"/>
      <c r="U16" s="9"/>
      <c r="V16" s="9"/>
      <c r="W16" s="9"/>
      <c r="X16" s="9"/>
      <c r="Y16" s="9"/>
      <c r="Z16" s="9"/>
    </row>
    <row r="17" spans="1:26" x14ac:dyDescent="0.3">
      <c r="A17">
        <v>114523.61</v>
      </c>
      <c r="B17">
        <v>122616.84</v>
      </c>
      <c r="C17">
        <v>261776.23</v>
      </c>
      <c r="D17">
        <v>129917.04</v>
      </c>
      <c r="E17" t="s">
        <v>5</v>
      </c>
      <c r="G17" t="s">
        <v>29</v>
      </c>
      <c r="H17">
        <v>3</v>
      </c>
      <c r="I17">
        <v>75683964196.192642</v>
      </c>
      <c r="J17">
        <v>25227988065.397549</v>
      </c>
      <c r="K17">
        <v>295.97806242610113</v>
      </c>
      <c r="L17">
        <v>4.5285063201720611E-30</v>
      </c>
      <c r="Q17" s="9" t="s">
        <v>61</v>
      </c>
      <c r="R17" s="9"/>
      <c r="S17" s="9"/>
      <c r="T17" s="9"/>
      <c r="U17" s="9"/>
      <c r="V17" s="9"/>
      <c r="W17" s="9"/>
      <c r="X17" s="9"/>
      <c r="Y17" s="9"/>
      <c r="Z17" s="9"/>
    </row>
    <row r="18" spans="1:26" x14ac:dyDescent="0.3">
      <c r="A18">
        <v>78013.11</v>
      </c>
      <c r="B18">
        <v>121597.55</v>
      </c>
      <c r="C18">
        <v>264346.06</v>
      </c>
      <c r="D18">
        <v>126992.93</v>
      </c>
      <c r="E18" t="s">
        <v>6</v>
      </c>
      <c r="G18" t="s">
        <v>30</v>
      </c>
      <c r="H18">
        <v>46</v>
      </c>
      <c r="I18">
        <v>3920856300.956542</v>
      </c>
      <c r="J18">
        <v>85236006.542533517</v>
      </c>
    </row>
    <row r="19" spans="1:26" ht="15" thickBot="1" x14ac:dyDescent="0.35">
      <c r="A19">
        <v>94657.16</v>
      </c>
      <c r="B19">
        <v>145077.57999999999</v>
      </c>
      <c r="C19">
        <v>282574.31</v>
      </c>
      <c r="D19">
        <v>125370.37</v>
      </c>
      <c r="E19" t="s">
        <v>5</v>
      </c>
      <c r="G19" s="2" t="s">
        <v>31</v>
      </c>
      <c r="H19" s="2">
        <v>49</v>
      </c>
      <c r="I19" s="2">
        <v>79604820497.149185</v>
      </c>
      <c r="J19" s="2"/>
      <c r="K19" s="2"/>
      <c r="L19" s="2"/>
    </row>
    <row r="20" spans="1:26" ht="15" thickBot="1" x14ac:dyDescent="0.35">
      <c r="A20">
        <v>91749.16</v>
      </c>
      <c r="B20">
        <v>114175.79</v>
      </c>
      <c r="C20">
        <v>294919.57</v>
      </c>
      <c r="D20">
        <v>124266.9</v>
      </c>
      <c r="E20" t="s">
        <v>7</v>
      </c>
    </row>
    <row r="21" spans="1:26" x14ac:dyDescent="0.3">
      <c r="A21">
        <v>86419.7</v>
      </c>
      <c r="B21">
        <v>153514.10999999999</v>
      </c>
      <c r="C21">
        <v>0</v>
      </c>
      <c r="D21">
        <v>122776.86</v>
      </c>
      <c r="E21" t="s">
        <v>5</v>
      </c>
      <c r="G21" s="3"/>
      <c r="H21" s="3" t="s">
        <v>38</v>
      </c>
      <c r="I21" s="3" t="s">
        <v>9</v>
      </c>
      <c r="J21" s="3" t="s">
        <v>39</v>
      </c>
      <c r="K21" s="3" t="s">
        <v>40</v>
      </c>
      <c r="L21" s="3" t="s">
        <v>41</v>
      </c>
      <c r="M21" s="3" t="s">
        <v>42</v>
      </c>
      <c r="N21" s="3" t="s">
        <v>43</v>
      </c>
      <c r="O21" s="3" t="s">
        <v>44</v>
      </c>
      <c r="R21" s="6" t="s">
        <v>48</v>
      </c>
      <c r="S21">
        <f>H23</f>
        <v>0.80571504991574339</v>
      </c>
    </row>
    <row r="22" spans="1:26" x14ac:dyDescent="0.3">
      <c r="A22">
        <v>76253.86</v>
      </c>
      <c r="B22">
        <v>113867.3</v>
      </c>
      <c r="C22">
        <v>298664.46999999997</v>
      </c>
      <c r="D22">
        <v>118474.03</v>
      </c>
      <c r="E22" t="s">
        <v>6</v>
      </c>
      <c r="G22" t="s">
        <v>32</v>
      </c>
      <c r="H22">
        <v>50122.192989865282</v>
      </c>
      <c r="I22">
        <v>6572.3526215324682</v>
      </c>
      <c r="J22">
        <v>7.6262178668950273</v>
      </c>
      <c r="K22">
        <v>1.0573791602334319E-9</v>
      </c>
      <c r="L22">
        <v>36892.733323435998</v>
      </c>
      <c r="M22">
        <v>63351.652656294566</v>
      </c>
      <c r="N22">
        <v>36892.733323435998</v>
      </c>
      <c r="O22">
        <v>63351.652656294566</v>
      </c>
      <c r="R22" s="1" t="s">
        <v>49</v>
      </c>
      <c r="S22">
        <f>H24</f>
        <v>-2.6815968394751061E-2</v>
      </c>
    </row>
    <row r="23" spans="1:26" x14ac:dyDescent="0.3">
      <c r="A23">
        <v>78389.47</v>
      </c>
      <c r="B23">
        <v>153773.43</v>
      </c>
      <c r="C23">
        <v>299737.28999999998</v>
      </c>
      <c r="D23">
        <v>111313.02</v>
      </c>
      <c r="E23" t="s">
        <v>5</v>
      </c>
      <c r="G23" t="s">
        <v>0</v>
      </c>
      <c r="H23">
        <v>0.80571504991574339</v>
      </c>
      <c r="I23">
        <v>4.5147269728517771E-2</v>
      </c>
      <c r="J23">
        <v>17.846373762150328</v>
      </c>
      <c r="K23">
        <v>2.6349677214705453E-22</v>
      </c>
      <c r="L23">
        <v>0.71483830937598158</v>
      </c>
      <c r="M23">
        <v>0.89659179045550519</v>
      </c>
      <c r="N23">
        <v>0.71483830937598158</v>
      </c>
      <c r="O23">
        <v>0.89659179045550519</v>
      </c>
      <c r="R23" s="1" t="s">
        <v>50</v>
      </c>
      <c r="S23">
        <f>H25</f>
        <v>2.7228064800818939E-2</v>
      </c>
    </row>
    <row r="24" spans="1:26" x14ac:dyDescent="0.3">
      <c r="A24">
        <v>73994.559999999998</v>
      </c>
      <c r="B24">
        <v>122782.75</v>
      </c>
      <c r="C24">
        <v>303319.26</v>
      </c>
      <c r="D24">
        <v>110352.25</v>
      </c>
      <c r="E24" t="s">
        <v>7</v>
      </c>
      <c r="G24" t="s">
        <v>1</v>
      </c>
      <c r="H24">
        <v>-2.6815968394751061E-2</v>
      </c>
      <c r="I24">
        <v>5.1028779938751379E-2</v>
      </c>
      <c r="J24">
        <v>-0.52550675181608542</v>
      </c>
      <c r="K24">
        <v>0.60175510784974762</v>
      </c>
      <c r="L24">
        <v>-0.12953157495169182</v>
      </c>
      <c r="M24">
        <v>7.5899638162189684E-2</v>
      </c>
      <c r="N24">
        <v>-0.12953157495169182</v>
      </c>
      <c r="O24">
        <v>7.5899638162189684E-2</v>
      </c>
      <c r="R24" s="1" t="s">
        <v>51</v>
      </c>
      <c r="S24">
        <f>H22</f>
        <v>50122.192989865282</v>
      </c>
    </row>
    <row r="25" spans="1:26" ht="15" thickBot="1" x14ac:dyDescent="0.35">
      <c r="A25">
        <v>67532.53</v>
      </c>
      <c r="B25">
        <v>105751.03</v>
      </c>
      <c r="C25">
        <v>304768.73</v>
      </c>
      <c r="D25">
        <v>108733.99</v>
      </c>
      <c r="E25" t="s">
        <v>7</v>
      </c>
      <c r="G25" s="2" t="s">
        <v>2</v>
      </c>
      <c r="H25" s="2">
        <v>2.7228064800818939E-2</v>
      </c>
      <c r="I25" s="2">
        <v>1.645123451799518E-2</v>
      </c>
      <c r="J25" s="2">
        <v>1.6550772995811058</v>
      </c>
      <c r="K25" s="2">
        <v>0.10471681926658105</v>
      </c>
      <c r="L25" s="2">
        <v>-5.8865527572449679E-3</v>
      </c>
      <c r="M25" s="2">
        <v>6.0342682358882849E-2</v>
      </c>
      <c r="N25" s="2">
        <v>-5.8865527572449679E-3</v>
      </c>
      <c r="O25" s="2">
        <v>6.0342682358882849E-2</v>
      </c>
      <c r="R25" s="11" t="s">
        <v>57</v>
      </c>
      <c r="S25" s="12"/>
      <c r="T25" s="12"/>
      <c r="U25" s="12"/>
      <c r="V25" s="12"/>
      <c r="W25" s="12"/>
    </row>
    <row r="26" spans="1:26" x14ac:dyDescent="0.3">
      <c r="A26">
        <v>77044.009999999995</v>
      </c>
      <c r="B26">
        <v>99281.34</v>
      </c>
      <c r="C26">
        <v>140574.81</v>
      </c>
      <c r="D26">
        <v>108552.04</v>
      </c>
      <c r="E26" t="s">
        <v>5</v>
      </c>
      <c r="R26" s="12"/>
      <c r="S26" s="12"/>
      <c r="T26" s="12"/>
      <c r="U26" s="12"/>
      <c r="V26" s="12"/>
      <c r="W26" s="12"/>
    </row>
    <row r="27" spans="1:26" x14ac:dyDescent="0.3">
      <c r="A27">
        <v>64664.71</v>
      </c>
      <c r="B27">
        <v>139553.16</v>
      </c>
      <c r="C27">
        <v>137962.62</v>
      </c>
      <c r="D27">
        <v>107404.34</v>
      </c>
      <c r="E27" t="s">
        <v>6</v>
      </c>
    </row>
    <row r="28" spans="1:26" x14ac:dyDescent="0.3">
      <c r="A28">
        <v>75328.87</v>
      </c>
      <c r="B28">
        <v>144135.98000000001</v>
      </c>
      <c r="C28">
        <v>134050.07</v>
      </c>
      <c r="D28">
        <v>105733.54</v>
      </c>
      <c r="E28" t="s">
        <v>7</v>
      </c>
      <c r="J28" s="14" t="s">
        <v>45</v>
      </c>
      <c r="K28" s="14" t="s">
        <v>46</v>
      </c>
      <c r="L28" s="14" t="s">
        <v>47</v>
      </c>
      <c r="M28" s="14" t="s">
        <v>52</v>
      </c>
      <c r="R28" s="13" t="s">
        <v>58</v>
      </c>
      <c r="S28" s="13"/>
      <c r="T28" s="13"/>
      <c r="U28" s="13"/>
      <c r="V28" s="13"/>
      <c r="W28" s="13"/>
      <c r="X28" s="13"/>
    </row>
    <row r="29" spans="1:26" x14ac:dyDescent="0.3">
      <c r="A29">
        <v>72107.600000000006</v>
      </c>
      <c r="B29">
        <v>127864.55</v>
      </c>
      <c r="C29">
        <v>353183.81</v>
      </c>
      <c r="D29">
        <v>105008.31</v>
      </c>
      <c r="E29" t="s">
        <v>5</v>
      </c>
      <c r="J29">
        <f>21892.92</f>
        <v>21892.92</v>
      </c>
      <c r="K29">
        <f>81910.77</f>
        <v>81910.77</v>
      </c>
      <c r="L29">
        <f>164270.7</f>
        <v>164270.70000000001</v>
      </c>
      <c r="M29">
        <f>S21*J29+S22*K29+S23*L29+S24</f>
        <v>70037.904765432817</v>
      </c>
      <c r="N29" s="1" t="s">
        <v>53</v>
      </c>
      <c r="O29" s="1"/>
      <c r="P29" s="1"/>
      <c r="R29" s="13" t="s">
        <v>59</v>
      </c>
      <c r="S29" s="13"/>
      <c r="T29" s="13"/>
      <c r="U29" s="13"/>
      <c r="V29" s="13"/>
      <c r="W29" s="13"/>
      <c r="X29" s="13"/>
    </row>
    <row r="30" spans="1:26" x14ac:dyDescent="0.3">
      <c r="A30">
        <v>66051.520000000004</v>
      </c>
      <c r="B30">
        <v>182645.56</v>
      </c>
      <c r="C30">
        <v>118148.2</v>
      </c>
      <c r="D30">
        <v>103282.38</v>
      </c>
      <c r="E30" t="s">
        <v>7</v>
      </c>
      <c r="J30">
        <f>23940.93</f>
        <v>23940.93</v>
      </c>
      <c r="K30">
        <f>96489.63</f>
        <v>96489.63</v>
      </c>
      <c r="L30">
        <f>137001.1</f>
        <v>137001.1</v>
      </c>
      <c r="M30">
        <f>S21*J30+S22*K30+S23*L30+S24</f>
        <v>70554.572559926848</v>
      </c>
    </row>
    <row r="31" spans="1:26" x14ac:dyDescent="0.3">
      <c r="A31">
        <v>65605.48</v>
      </c>
      <c r="B31">
        <v>153032.06</v>
      </c>
      <c r="C31">
        <v>107138.38</v>
      </c>
      <c r="D31">
        <v>101004.64</v>
      </c>
      <c r="E31" t="s">
        <v>5</v>
      </c>
      <c r="Q31" t="s">
        <v>60</v>
      </c>
    </row>
    <row r="32" spans="1:26" x14ac:dyDescent="0.3">
      <c r="A32">
        <v>61994.48</v>
      </c>
      <c r="B32">
        <v>115641.28</v>
      </c>
      <c r="C32">
        <v>91131.24</v>
      </c>
      <c r="D32">
        <v>99937.59</v>
      </c>
      <c r="E32" t="s">
        <v>7</v>
      </c>
    </row>
    <row r="33" spans="1:5" x14ac:dyDescent="0.3">
      <c r="A33">
        <v>61136.38</v>
      </c>
      <c r="B33">
        <v>152701.92000000001</v>
      </c>
      <c r="C33">
        <v>88218.23</v>
      </c>
      <c r="D33">
        <v>97483.56</v>
      </c>
      <c r="E33" t="s">
        <v>5</v>
      </c>
    </row>
    <row r="34" spans="1:5" x14ac:dyDescent="0.3">
      <c r="A34">
        <v>63408.86</v>
      </c>
      <c r="B34">
        <v>129219.61</v>
      </c>
      <c r="C34">
        <v>46085.25</v>
      </c>
      <c r="D34">
        <v>97427.839999999997</v>
      </c>
      <c r="E34" t="s">
        <v>6</v>
      </c>
    </row>
    <row r="35" spans="1:5" x14ac:dyDescent="0.3">
      <c r="A35">
        <v>55493.95</v>
      </c>
      <c r="B35">
        <v>103057.49</v>
      </c>
      <c r="C35">
        <v>214634.81</v>
      </c>
      <c r="D35">
        <v>96778.92</v>
      </c>
      <c r="E35" t="s">
        <v>7</v>
      </c>
    </row>
    <row r="36" spans="1:5" x14ac:dyDescent="0.3">
      <c r="A36">
        <v>46426.07</v>
      </c>
      <c r="B36">
        <v>157693.92000000001</v>
      </c>
      <c r="C36">
        <v>210797.67</v>
      </c>
      <c r="D36">
        <v>96712.8</v>
      </c>
      <c r="E36" t="s">
        <v>6</v>
      </c>
    </row>
    <row r="37" spans="1:5" x14ac:dyDescent="0.3">
      <c r="A37">
        <v>46014.02</v>
      </c>
      <c r="B37">
        <v>85047.44</v>
      </c>
      <c r="C37">
        <v>205517.64</v>
      </c>
      <c r="D37">
        <v>96479.51</v>
      </c>
      <c r="E37" t="s">
        <v>5</v>
      </c>
    </row>
    <row r="38" spans="1:5" x14ac:dyDescent="0.3">
      <c r="A38">
        <v>28663.759999999998</v>
      </c>
      <c r="B38">
        <v>127056.21</v>
      </c>
      <c r="C38">
        <v>201126.82</v>
      </c>
      <c r="D38">
        <v>90708.19</v>
      </c>
      <c r="E38" t="s">
        <v>7</v>
      </c>
    </row>
    <row r="39" spans="1:5" x14ac:dyDescent="0.3">
      <c r="A39">
        <v>44069.95</v>
      </c>
      <c r="B39">
        <v>51283.14</v>
      </c>
      <c r="C39">
        <v>197029.42</v>
      </c>
      <c r="D39">
        <v>89949.14</v>
      </c>
      <c r="E39" t="s">
        <v>6</v>
      </c>
    </row>
    <row r="40" spans="1:5" x14ac:dyDescent="0.3">
      <c r="A40">
        <v>20229.59</v>
      </c>
      <c r="B40">
        <v>65947.929999999993</v>
      </c>
      <c r="C40">
        <v>185265.1</v>
      </c>
      <c r="D40">
        <v>81229.06</v>
      </c>
      <c r="E40" t="s">
        <v>5</v>
      </c>
    </row>
    <row r="41" spans="1:5" x14ac:dyDescent="0.3">
      <c r="A41">
        <v>38558.51</v>
      </c>
      <c r="B41">
        <v>82982.09</v>
      </c>
      <c r="C41">
        <v>174999.3</v>
      </c>
      <c r="D41">
        <v>81005.759999999995</v>
      </c>
      <c r="E41" t="s">
        <v>6</v>
      </c>
    </row>
    <row r="42" spans="1:5" x14ac:dyDescent="0.3">
      <c r="A42">
        <v>28754.33</v>
      </c>
      <c r="B42">
        <v>118546.05</v>
      </c>
      <c r="C42">
        <v>172795.67</v>
      </c>
      <c r="D42">
        <v>78239.91</v>
      </c>
      <c r="E42" t="s">
        <v>6</v>
      </c>
    </row>
    <row r="43" spans="1:5" x14ac:dyDescent="0.3">
      <c r="A43">
        <v>27892.92</v>
      </c>
      <c r="B43">
        <v>84710.77</v>
      </c>
      <c r="C43">
        <v>164470.71</v>
      </c>
      <c r="D43">
        <v>77798.83</v>
      </c>
      <c r="E43" t="s">
        <v>7</v>
      </c>
    </row>
    <row r="44" spans="1:5" x14ac:dyDescent="0.3">
      <c r="A44">
        <v>23640.93</v>
      </c>
      <c r="B44">
        <v>96189.63</v>
      </c>
      <c r="C44">
        <v>148001.10999999999</v>
      </c>
      <c r="D44">
        <v>71498.490000000005</v>
      </c>
      <c r="E44" t="s">
        <v>6</v>
      </c>
    </row>
    <row r="45" spans="1:5" x14ac:dyDescent="0.3">
      <c r="A45">
        <v>15505.73</v>
      </c>
      <c r="B45">
        <v>127382.3</v>
      </c>
      <c r="C45">
        <v>35534.17</v>
      </c>
      <c r="D45">
        <v>69758.98</v>
      </c>
      <c r="E45" t="s">
        <v>5</v>
      </c>
    </row>
    <row r="46" spans="1:5" x14ac:dyDescent="0.3">
      <c r="A46">
        <v>22177.74</v>
      </c>
      <c r="B46">
        <v>154806.14000000001</v>
      </c>
      <c r="C46">
        <v>28334.720000000001</v>
      </c>
      <c r="D46">
        <v>65200.33</v>
      </c>
      <c r="E46" t="s">
        <v>6</v>
      </c>
    </row>
    <row r="47" spans="1:5" x14ac:dyDescent="0.3">
      <c r="A47">
        <v>1000.23</v>
      </c>
      <c r="B47">
        <v>124153.04</v>
      </c>
      <c r="C47">
        <v>1903.93</v>
      </c>
      <c r="D47">
        <v>64926.080000000002</v>
      </c>
      <c r="E47" t="s">
        <v>5</v>
      </c>
    </row>
    <row r="48" spans="1:5" x14ac:dyDescent="0.3">
      <c r="A48">
        <v>1315.46</v>
      </c>
      <c r="B48">
        <v>115816.21</v>
      </c>
      <c r="C48">
        <v>297114.46000000002</v>
      </c>
      <c r="D48">
        <v>49490.75</v>
      </c>
      <c r="E48" t="s">
        <v>7</v>
      </c>
    </row>
    <row r="49" spans="1:5" x14ac:dyDescent="0.3">
      <c r="A49">
        <v>0</v>
      </c>
      <c r="B49">
        <v>135426.92000000001</v>
      </c>
      <c r="C49">
        <v>0</v>
      </c>
      <c r="D49">
        <v>42559.73</v>
      </c>
      <c r="E49" t="s">
        <v>6</v>
      </c>
    </row>
    <row r="50" spans="1:5" x14ac:dyDescent="0.3">
      <c r="A50">
        <v>542.04999999999995</v>
      </c>
      <c r="B50">
        <v>51743.15</v>
      </c>
      <c r="C50">
        <v>0</v>
      </c>
      <c r="D50">
        <v>35673.410000000003</v>
      </c>
      <c r="E50" t="s">
        <v>5</v>
      </c>
    </row>
    <row r="51" spans="1:5" x14ac:dyDescent="0.3">
      <c r="A51">
        <v>0</v>
      </c>
      <c r="B51">
        <v>116983.8</v>
      </c>
      <c r="C51">
        <v>45173.06</v>
      </c>
      <c r="D51">
        <v>14681.4</v>
      </c>
      <c r="E51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CLEANED DATA</vt:lpstr>
      <vt:lpstr>EDA</vt:lpstr>
      <vt:lpstr>REGRESSION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</dc:creator>
  <cp:lastModifiedBy>SHREYA SAHOO</cp:lastModifiedBy>
  <dcterms:created xsi:type="dcterms:W3CDTF">2026-02-02T15:31:02Z</dcterms:created>
  <dcterms:modified xsi:type="dcterms:W3CDTF">2026-02-04T10:29:43Z</dcterms:modified>
</cp:coreProperties>
</file>